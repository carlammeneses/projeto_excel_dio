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ameneses/Desktop/"/>
    </mc:Choice>
  </mc:AlternateContent>
  <xr:revisionPtr revIDLastSave="0" documentId="13_ncr:1_{F43B6788-580A-3F40-BB60-20004D0766C9}" xr6:coauthVersionLast="47" xr6:coauthVersionMax="47" xr10:uidLastSave="{00000000-0000-0000-0000-000000000000}"/>
  <bookViews>
    <workbookView xWindow="0" yWindow="500" windowWidth="38400" windowHeight="19680" xr2:uid="{53C2EF73-C8C4-1D4A-958C-A86EB6F8E5D8}"/>
  </bookViews>
  <sheets>
    <sheet name="SIMULADOR FII" sheetId="1" r:id="rId1"/>
    <sheet name="APOIO FII" sheetId="2" r:id="rId2"/>
  </sheets>
  <definedNames>
    <definedName name="_xlchart.v1.0" hidden="1">'SIMULADOR FII'!$B$27:$B$32</definedName>
    <definedName name="_xlchart.v1.1" hidden="1">'SIMULADOR FII'!$B$34:$B$39</definedName>
    <definedName name="_xlchart.v1.2" hidden="1">'SIMULADOR FII'!$C$27:$C$32</definedName>
    <definedName name="_xlchart.v1.3" hidden="1">'SIMULADOR FII'!$C$34:$C$39</definedName>
    <definedName name="_xlchart.v1.4" hidden="1">'SIMULADOR FII'!$D$27:$D$32</definedName>
    <definedName name="_xlchart.v1.5" hidden="1">'SIMULADOR FII'!$D$34:$D$39</definedName>
    <definedName name="_xlchart.v1.6" hidden="1">'SIMULADOR FII'!$B$27:$B$32</definedName>
    <definedName name="_xlchart.v1.7" hidden="1">'SIMULADOR FII'!$C$27:$C$32</definedName>
    <definedName name="_xlchart.v1.8" hidden="1">'SIMULADOR FII'!$D$27:$D$32</definedName>
    <definedName name="aporte">'SIMULADOR FII'!$D$10</definedName>
    <definedName name="quantidade_anos">'SIMULADOR FII'!$D$11</definedName>
    <definedName name="rendimento_carteira">'SIMULADOR FII'!$D$6</definedName>
    <definedName name="salario">'SIMULADOR FII'!$B$5</definedName>
    <definedName name="sugestao_invest">'SIMULADOR FII'!$B$7</definedName>
    <definedName name="taxa_mensal">'SIMULADOR FII'!$D$12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2" l="1"/>
  <c r="D16" i="2"/>
  <c r="D8" i="2"/>
  <c r="A19" i="2"/>
  <c r="A20" i="2"/>
  <c r="A21" i="2"/>
  <c r="A22" i="2"/>
  <c r="A23" i="2"/>
  <c r="A18" i="2"/>
  <c r="A11" i="2"/>
  <c r="A12" i="2"/>
  <c r="A13" i="2"/>
  <c r="A14" i="2"/>
  <c r="A15" i="2"/>
  <c r="A10" i="2"/>
  <c r="A7" i="2"/>
  <c r="A3" i="2"/>
  <c r="A4" i="2"/>
  <c r="A5" i="2"/>
  <c r="A6" i="2"/>
  <c r="A2" i="2"/>
  <c r="D25" i="1"/>
  <c r="C19" i="1"/>
  <c r="D19" i="1" s="1"/>
  <c r="C20" i="1"/>
  <c r="D20" i="1" s="1"/>
  <c r="C21" i="1"/>
  <c r="D21" i="1" s="1"/>
  <c r="C22" i="1"/>
  <c r="D22" i="1" s="1"/>
  <c r="C18" i="1"/>
  <c r="D18" i="1" s="1"/>
  <c r="D13" i="1"/>
  <c r="D14" i="1" s="1"/>
  <c r="D7" i="1"/>
  <c r="C27" i="1" l="1"/>
  <c r="D27" i="1" s="1"/>
  <c r="C29" i="1"/>
  <c r="D29" i="1" s="1"/>
  <c r="C32" i="1"/>
  <c r="D32" i="1" s="1"/>
  <c r="C30" i="1"/>
  <c r="D30" i="1" s="1"/>
  <c r="C28" i="1"/>
  <c r="D28" i="1" s="1"/>
  <c r="C31" i="1"/>
  <c r="D31" i="1" s="1"/>
  <c r="D33" i="1" l="1"/>
</calcChain>
</file>

<file path=xl/sharedStrings.xml><?xml version="1.0" encoding="utf-8"?>
<sst xmlns="http://schemas.openxmlformats.org/spreadsheetml/2006/main" count="79" uniqueCount="36">
  <si>
    <t>INVESTIMENTO MENSAL</t>
  </si>
  <si>
    <t>Quanto investir por mês?</t>
  </si>
  <si>
    <t>Por quantos anos?</t>
  </si>
  <si>
    <t>Taxa de Rendimento Mensal?</t>
  </si>
  <si>
    <t>Patrimônio Acumulado</t>
  </si>
  <si>
    <t>Dividendos Mensais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</si>
  <si>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</si>
  <si>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</si>
  <si>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</si>
  <si>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</si>
  <si>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</si>
  <si>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</si>
  <si>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PERÍODO</t>
  </si>
  <si>
    <t>DIVIDENDOS</t>
  </si>
  <si>
    <t>ACUMULADO</t>
  </si>
  <si>
    <t>CONFIGURAÇÕES</t>
  </si>
  <si>
    <t>Salário</t>
  </si>
  <si>
    <t>Rendimento Carteira</t>
  </si>
  <si>
    <t>PERFIL DE INVESTIDOR</t>
  </si>
  <si>
    <t>MODERADO</t>
  </si>
  <si>
    <t>CONSERVADOR</t>
  </si>
  <si>
    <t>AGRESSIVO</t>
  </si>
  <si>
    <t>TIPO DE FII</t>
  </si>
  <si>
    <t>PERCENTUAL SUGERIDO</t>
  </si>
  <si>
    <t>VALOR</t>
  </si>
  <si>
    <t>VALOR A SER INVESTIDO POR MÊS</t>
  </si>
  <si>
    <t>PAPEL</t>
  </si>
  <si>
    <t>TIJOLO</t>
  </si>
  <si>
    <t>HÍBRIDO</t>
  </si>
  <si>
    <t>FOF</t>
  </si>
  <si>
    <t>DESENVOLVIMENTO</t>
  </si>
  <si>
    <t>HOTELARIAS</t>
  </si>
  <si>
    <t>PERFIL</t>
  </si>
  <si>
    <t>PORCENTAGEM</t>
  </si>
  <si>
    <t>CHAVE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</si>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</sst>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48"/>
      <color theme="1"/>
      <name val="Aptos Narrow"/>
      <family val="2"/>
      <scheme val="minor"/>
    </font>
    <font>
      <b/>
      <sz val="18"/>
      <color theme="0"/>
      <name val="Aptos Narrow"/>
      <scheme val="minor"/>
    </font>
    <font>
      <sz val="18"/>
      <color theme="1"/>
      <name val="Aptos Narrow"/>
      <scheme val="minor"/>
    </font>
    <font>
      <b/>
      <sz val="18"/>
      <color theme="1"/>
      <name val="Aptos Narrow"/>
      <scheme val="minor"/>
    </font>
    <font>
      <sz val="12"/>
      <color rgb="FF3F3F76"/>
      <name val="Aptos Narrow"/>
      <family val="2"/>
      <scheme val="minor"/>
    </font>
    <font>
      <sz val="16"/>
      <color theme="1"/>
      <name val="Aptos Narrow"/>
      <scheme val="minor"/>
    </font>
    <font>
      <b/>
      <sz val="16"/>
      <color rgb="FF3F3F76"/>
      <name val="Aptos Narrow"/>
      <scheme val="minor"/>
    </font>
    <font>
      <i/>
      <sz val="17"/>
      <color theme="1"/>
      <name val="Aptos Narrow"/>
      <scheme val="minor"/>
    </font>
    <font>
      <b/>
      <i/>
      <sz val="17"/>
      <color theme="1"/>
      <name val="Aptos Narrow"/>
      <scheme val="minor"/>
    </font>
    <font>
      <b/>
      <sz val="16"/>
      <color theme="0"/>
      <name val="Aptos Narrow"/>
      <scheme val="minor"/>
    </font>
    <font>
      <b/>
      <sz val="16"/>
      <color rgb="FFC00000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2FDDA"/>
        <bgColor indexed="64"/>
      </patternFill>
    </fill>
    <fill>
      <patternFill patternType="solid">
        <fgColor theme="7"/>
        <bgColor indexed="64"/>
      </patternFill>
    </fill>
  </fills>
  <borders count="46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medium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medium">
        <color theme="1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14999847407452621"/>
      </left>
      <right style="medium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thin">
        <color theme="0" tint="-0.14999847407452621"/>
      </right>
      <top/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/>
      <bottom style="thin">
        <color theme="0" tint="-0.249977111117893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/>
      <diagonal/>
    </border>
    <border>
      <left style="medium">
        <color theme="1"/>
      </left>
      <right style="thin">
        <color theme="0" tint="-0.14996795556505021"/>
      </right>
      <top style="medium">
        <color theme="1"/>
      </top>
      <bottom style="medium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1"/>
      </top>
      <bottom style="medium">
        <color theme="1"/>
      </bottom>
      <diagonal/>
    </border>
    <border>
      <left style="thin">
        <color theme="0" tint="-0.1499679555650502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7" borderId="4" applyNumberFormat="0" applyAlignment="0" applyProtection="0"/>
    <xf numFmtId="0" fontId="2" fillId="8" borderId="0" applyNumberFormat="0" applyBorder="0" applyAlignment="0" applyProtection="0"/>
  </cellStyleXfs>
  <cellXfs count="101">
    <xf numFmtId="0" fontId="0" fillId="0" borderId="0" xfId="0"/>
    <xf numFmtId="0" fontId="3" fillId="0" borderId="0" xfId="0" applyFont="1"/>
    <xf numFmtId="0" fontId="2" fillId="0" borderId="0" xfId="0" applyFont="1"/>
    <xf numFmtId="0" fontId="5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7" borderId="6" xfId="3" applyFont="1" applyBorder="1" applyAlignment="1">
      <alignment horizontal="center" vertical="center"/>
    </xf>
    <xf numFmtId="0" fontId="9" fillId="7" borderId="7" xfId="3" applyFont="1" applyBorder="1" applyAlignment="1">
      <alignment horizontal="center" vertical="center"/>
    </xf>
    <xf numFmtId="0" fontId="9" fillId="7" borderId="8" xfId="3" applyFont="1" applyBorder="1" applyAlignment="1">
      <alignment horizontal="center" vertical="center"/>
    </xf>
    <xf numFmtId="9" fontId="8" fillId="4" borderId="9" xfId="2" applyNumberFormat="1" applyFont="1" applyFill="1" applyBorder="1" applyAlignment="1">
      <alignment horizontal="center" vertical="center"/>
    </xf>
    <xf numFmtId="9" fontId="8" fillId="4" borderId="10" xfId="2" applyNumberFormat="1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164" fontId="8" fillId="4" borderId="15" xfId="0" applyNumberFormat="1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164" fontId="8" fillId="4" borderId="18" xfId="0" applyNumberFormat="1" applyFont="1" applyFill="1" applyBorder="1" applyAlignment="1">
      <alignment horizontal="center" vertical="center"/>
    </xf>
    <xf numFmtId="0" fontId="5" fillId="10" borderId="19" xfId="0" applyFont="1" applyFill="1" applyBorder="1" applyAlignment="1">
      <alignment horizontal="center" vertical="center"/>
    </xf>
    <xf numFmtId="0" fontId="8" fillId="11" borderId="22" xfId="0" applyFont="1" applyFill="1" applyBorder="1" applyAlignment="1">
      <alignment horizontal="center" vertical="center"/>
    </xf>
    <xf numFmtId="0" fontId="8" fillId="11" borderId="29" xfId="0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11" borderId="31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9" fontId="8" fillId="4" borderId="17" xfId="2" applyNumberFormat="1" applyFont="1" applyFill="1" applyBorder="1" applyAlignment="1">
      <alignment horizontal="center" vertical="center"/>
    </xf>
    <xf numFmtId="9" fontId="8" fillId="0" borderId="33" xfId="0" applyNumberFormat="1" applyFont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/>
    </xf>
    <xf numFmtId="9" fontId="8" fillId="0" borderId="30" xfId="0" applyNumberFormat="1" applyFont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/>
    </xf>
    <xf numFmtId="44" fontId="5" fillId="10" borderId="36" xfId="1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164" fontId="8" fillId="4" borderId="38" xfId="0" applyNumberFormat="1" applyFont="1" applyFill="1" applyBorder="1" applyAlignment="1">
      <alignment horizontal="center" vertical="center"/>
    </xf>
    <xf numFmtId="0" fontId="10" fillId="12" borderId="20" xfId="0" applyFont="1" applyFill="1" applyBorder="1" applyAlignment="1">
      <alignment horizontal="center"/>
    </xf>
    <xf numFmtId="0" fontId="10" fillId="12" borderId="39" xfId="0" applyFont="1" applyFill="1" applyBorder="1" applyAlignment="1">
      <alignment horizontal="center"/>
    </xf>
    <xf numFmtId="164" fontId="11" fillId="12" borderId="5" xfId="0" applyNumberFormat="1" applyFont="1" applyFill="1" applyBorder="1" applyAlignment="1">
      <alignment horizontal="center"/>
    </xf>
    <xf numFmtId="0" fontId="8" fillId="13" borderId="32" xfId="0" applyFont="1" applyFill="1" applyBorder="1" applyAlignment="1">
      <alignment horizontal="center" vertical="center"/>
    </xf>
    <xf numFmtId="0" fontId="8" fillId="13" borderId="31" xfId="0" applyFont="1" applyFill="1" applyBorder="1" applyAlignment="1">
      <alignment horizontal="center" vertical="center"/>
    </xf>
    <xf numFmtId="9" fontId="8" fillId="13" borderId="33" xfId="0" applyNumberFormat="1" applyFont="1" applyFill="1" applyBorder="1" applyAlignment="1">
      <alignment horizontal="center" vertical="center"/>
    </xf>
    <xf numFmtId="0" fontId="8" fillId="13" borderId="23" xfId="0" applyFont="1" applyFill="1" applyBorder="1" applyAlignment="1">
      <alignment horizontal="center" vertical="center"/>
    </xf>
    <xf numFmtId="0" fontId="8" fillId="13" borderId="22" xfId="0" applyFont="1" applyFill="1" applyBorder="1" applyAlignment="1">
      <alignment horizontal="center" vertical="center"/>
    </xf>
    <xf numFmtId="9" fontId="8" fillId="13" borderId="24" xfId="0" applyNumberFormat="1" applyFont="1" applyFill="1" applyBorder="1" applyAlignment="1">
      <alignment horizontal="center" vertical="center"/>
    </xf>
    <xf numFmtId="0" fontId="8" fillId="13" borderId="28" xfId="0" applyFont="1" applyFill="1" applyBorder="1" applyAlignment="1">
      <alignment horizontal="center" vertical="center"/>
    </xf>
    <xf numFmtId="0" fontId="8" fillId="13" borderId="29" xfId="0" applyFont="1" applyFill="1" applyBorder="1" applyAlignment="1">
      <alignment horizontal="center" vertical="center"/>
    </xf>
    <xf numFmtId="9" fontId="8" fillId="13" borderId="30" xfId="0" applyNumberFormat="1" applyFont="1" applyFill="1" applyBorder="1" applyAlignment="1">
      <alignment horizontal="center" vertical="center"/>
    </xf>
    <xf numFmtId="0" fontId="8" fillId="13" borderId="25" xfId="0" applyFont="1" applyFill="1" applyBorder="1" applyAlignment="1">
      <alignment horizontal="center" vertical="center"/>
    </xf>
    <xf numFmtId="0" fontId="8" fillId="13" borderId="26" xfId="0" applyFont="1" applyFill="1" applyBorder="1" applyAlignment="1">
      <alignment horizontal="center" vertical="center"/>
    </xf>
    <xf numFmtId="9" fontId="8" fillId="13" borderId="27" xfId="0" applyNumberFormat="1" applyFont="1" applyFill="1" applyBorder="1" applyAlignment="1">
      <alignment horizontal="center" vertical="center"/>
    </xf>
    <xf numFmtId="0" fontId="12" fillId="14" borderId="5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39" xfId="0" applyFont="1" applyFill="1" applyBorder="1" applyAlignment="1">
      <alignment horizontal="center" vertical="center"/>
    </xf>
    <xf numFmtId="9" fontId="13" fillId="3" borderId="21" xfId="0" applyNumberFormat="1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left" indent="2"/>
    </xf>
    <xf numFmtId="0" fontId="5" fillId="3" borderId="14" xfId="0" applyFont="1" applyFill="1" applyBorder="1" applyAlignment="1">
      <alignment horizontal="left" indent="2"/>
    </xf>
    <xf numFmtId="10" fontId="5" fillId="0" borderId="15" xfId="0" applyNumberFormat="1" applyFont="1" applyBorder="1"/>
    <xf numFmtId="0" fontId="5" fillId="3" borderId="16" xfId="0" applyFont="1" applyFill="1" applyBorder="1" applyAlignment="1">
      <alignment horizontal="left" indent="2"/>
    </xf>
    <xf numFmtId="0" fontId="5" fillId="3" borderId="17" xfId="0" applyFont="1" applyFill="1" applyBorder="1" applyAlignment="1">
      <alignment horizontal="left" indent="2"/>
    </xf>
    <xf numFmtId="44" fontId="5" fillId="10" borderId="18" xfId="0" applyNumberFormat="1" applyFont="1" applyFill="1" applyBorder="1"/>
    <xf numFmtId="0" fontId="5" fillId="3" borderId="11" xfId="0" applyFont="1" applyFill="1" applyBorder="1" applyAlignment="1">
      <alignment horizontal="left" indent="2"/>
    </xf>
    <xf numFmtId="0" fontId="5" fillId="3" borderId="12" xfId="0" applyFont="1" applyFill="1" applyBorder="1" applyAlignment="1">
      <alignment horizontal="left" indent="2"/>
    </xf>
    <xf numFmtId="44" fontId="5" fillId="0" borderId="13" xfId="1" applyFont="1" applyBorder="1"/>
    <xf numFmtId="0" fontId="5" fillId="4" borderId="9" xfId="0" applyFont="1" applyFill="1" applyBorder="1" applyAlignment="1">
      <alignment horizontal="left" indent="2"/>
    </xf>
    <xf numFmtId="8" fontId="5" fillId="3" borderId="9" xfId="0" applyNumberFormat="1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indent="2"/>
    </xf>
    <xf numFmtId="0" fontId="5" fillId="4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left" indent="2"/>
    </xf>
    <xf numFmtId="0" fontId="6" fillId="3" borderId="17" xfId="0" applyFont="1" applyFill="1" applyBorder="1" applyAlignment="1">
      <alignment horizontal="left" indent="2"/>
    </xf>
    <xf numFmtId="8" fontId="6" fillId="3" borderId="18" xfId="0" applyNumberFormat="1" applyFont="1" applyFill="1" applyBorder="1" applyAlignment="1">
      <alignment horizontal="left" vertical="center"/>
    </xf>
    <xf numFmtId="0" fontId="5" fillId="4" borderId="37" xfId="0" applyFont="1" applyFill="1" applyBorder="1" applyAlignment="1">
      <alignment horizontal="left" indent="2"/>
    </xf>
    <xf numFmtId="0" fontId="5" fillId="4" borderId="10" xfId="0" applyFont="1" applyFill="1" applyBorder="1" applyAlignment="1">
      <alignment horizontal="left" indent="2"/>
    </xf>
    <xf numFmtId="44" fontId="5" fillId="4" borderId="38" xfId="1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39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5" fillId="4" borderId="40" xfId="0" applyFont="1" applyFill="1" applyBorder="1" applyAlignment="1">
      <alignment horizontal="left" indent="2"/>
    </xf>
    <xf numFmtId="0" fontId="5" fillId="4" borderId="41" xfId="0" applyFont="1" applyFill="1" applyBorder="1" applyAlignment="1">
      <alignment horizontal="left" indent="2"/>
    </xf>
    <xf numFmtId="10" fontId="5" fillId="4" borderId="42" xfId="2" applyNumberFormat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left" indent="2"/>
    </xf>
    <xf numFmtId="0" fontId="6" fillId="3" borderId="12" xfId="0" applyFont="1" applyFill="1" applyBorder="1" applyAlignment="1">
      <alignment horizontal="left" indent="2"/>
    </xf>
    <xf numFmtId="8" fontId="6" fillId="3" borderId="13" xfId="0" applyNumberFormat="1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indent="2"/>
    </xf>
    <xf numFmtId="8" fontId="5" fillId="3" borderId="15" xfId="0" applyNumberFormat="1" applyFont="1" applyFill="1" applyBorder="1" applyAlignment="1">
      <alignment horizontal="left" vertical="center"/>
    </xf>
    <xf numFmtId="0" fontId="6" fillId="3" borderId="16" xfId="0" applyFont="1" applyFill="1" applyBorder="1" applyAlignment="1">
      <alignment horizontal="left" indent="2"/>
    </xf>
    <xf numFmtId="8" fontId="5" fillId="3" borderId="17" xfId="0" applyNumberFormat="1" applyFont="1" applyFill="1" applyBorder="1" applyAlignment="1">
      <alignment horizontal="left" vertical="center"/>
    </xf>
    <xf numFmtId="8" fontId="5" fillId="3" borderId="18" xfId="0" applyNumberFormat="1" applyFont="1" applyFill="1" applyBorder="1" applyAlignment="1">
      <alignment horizontal="left" vertical="center"/>
    </xf>
    <xf numFmtId="0" fontId="6" fillId="3" borderId="37" xfId="0" applyFont="1" applyFill="1" applyBorder="1" applyAlignment="1">
      <alignment horizontal="left" indent="2"/>
    </xf>
    <xf numFmtId="8" fontId="5" fillId="3" borderId="10" xfId="0" applyNumberFormat="1" applyFont="1" applyFill="1" applyBorder="1" applyAlignment="1">
      <alignment horizontal="left" vertical="center"/>
    </xf>
    <xf numFmtId="8" fontId="5" fillId="3" borderId="38" xfId="0" applyNumberFormat="1" applyFont="1" applyFill="1" applyBorder="1" applyAlignment="1">
      <alignment horizontal="left" vertical="center"/>
    </xf>
    <xf numFmtId="0" fontId="4" fillId="5" borderId="43" xfId="0" applyFont="1" applyFill="1" applyBorder="1" applyAlignment="1">
      <alignment horizontal="center"/>
    </xf>
    <xf numFmtId="0" fontId="4" fillId="5" borderId="44" xfId="0" applyFont="1" applyFill="1" applyBorder="1" applyAlignment="1">
      <alignment horizontal="center"/>
    </xf>
    <xf numFmtId="0" fontId="4" fillId="5" borderId="45" xfId="0" applyFont="1" applyFill="1" applyBorder="1" applyAlignment="1">
      <alignment horizontal="center"/>
    </xf>
    <xf numFmtId="0" fontId="4" fillId="8" borderId="20" xfId="4" applyFont="1" applyBorder="1" applyAlignment="1">
      <alignment horizontal="center" vertical="center" wrapText="1"/>
    </xf>
    <xf numFmtId="0" fontId="4" fillId="8" borderId="21" xfId="4" applyFont="1" applyBorder="1" applyAlignment="1">
      <alignment horizontal="center" vertical="center" wrapText="1"/>
    </xf>
    <xf numFmtId="0" fontId="4" fillId="8" borderId="34" xfId="4" applyFont="1" applyBorder="1" applyAlignment="1">
      <alignment horizontal="center" vertical="center" wrapText="1"/>
    </xf>
  </cellXfs>
  <cellStyles count="5">
    <cellStyle name="Ênfase2" xfId="4" builtinId="33"/>
    <cellStyle name="Entrada" xfId="3" builtinId="20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FD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CARTEIRA</a:t>
            </a:r>
            <a:r>
              <a:rPr lang="en-US" baseline="0"/>
              <a:t> DE INVESTIMENTOS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'SIMULADOR FII'!$C$26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bg1"/>
                    </a:solidFill>
                    <a:latin typeface="Arial Nova Cond Light" panose="020B0306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'SIMULADOR FII'!$B$27:$B$32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'SIMULADOR FII'!$C$27:$C$32</c:f>
              <c:numCache>
                <c:formatCode>0%</c:formatCode>
                <c:ptCount val="6"/>
                <c:pt idx="0">
                  <c:v>0.3</c:v>
                </c:pt>
                <c:pt idx="1">
                  <c:v>0.4</c:v>
                </c:pt>
                <c:pt idx="2">
                  <c:v>0.1</c:v>
                </c:pt>
                <c:pt idx="3">
                  <c:v>0.1</c:v>
                </c:pt>
                <c:pt idx="4">
                  <c:v>0.05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3-7D4E-A02E-F9A5D9AB5789}"/>
            </c:ext>
          </c:extLst>
        </c:ser>
        <c:ser>
          <c:idx val="1"/>
          <c:order val="1"/>
          <c:tx>
            <c:strRef>
              <c:f>'SIMULADOR FII'!$D$26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'SIMULADOR FII'!$B$27:$B$32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'SIMULADOR FII'!$D$27:$D$32</c:f>
              <c:numCache>
                <c:formatCode>_-[$R$-416]\ * #,##0.00_-;\-[$R$-416]\ * #,##0.00_-;_-[$R$-416]\ * "-"??_-;_-@_-</c:formatCode>
                <c:ptCount val="6"/>
                <c:pt idx="0">
                  <c:v>240</c:v>
                </c:pt>
                <c:pt idx="1">
                  <c:v>320</c:v>
                </c:pt>
                <c:pt idx="2">
                  <c:v>80</c:v>
                </c:pt>
                <c:pt idx="3">
                  <c:v>80</c:v>
                </c:pt>
                <c:pt idx="4">
                  <c:v>40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33-7D4E-A02E-F9A5D9AB578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0</xdr:row>
      <xdr:rowOff>63500</xdr:rowOff>
    </xdr:from>
    <xdr:to>
      <xdr:col>4</xdr:col>
      <xdr:colOff>0</xdr:colOff>
      <xdr:row>0</xdr:row>
      <xdr:rowOff>774700</xdr:rowOff>
    </xdr:to>
    <xdr:sp macro="" textlink="">
      <xdr:nvSpPr>
        <xdr:cNvPr id="2" name="Retângulo Arredondado em um Canto Diagonal 1">
          <a:extLst>
            <a:ext uri="{FF2B5EF4-FFF2-40B4-BE49-F238E27FC236}">
              <a16:creationId xmlns:a16="http://schemas.microsoft.com/office/drawing/2014/main" id="{4C9CDD4C-4A4B-06A2-019C-762E71C1E789}"/>
            </a:ext>
          </a:extLst>
        </xdr:cNvPr>
        <xdr:cNvSpPr/>
      </xdr:nvSpPr>
      <xdr:spPr>
        <a:xfrm>
          <a:off x="266700" y="63500"/>
          <a:ext cx="5448300" cy="711200"/>
        </a:xfrm>
        <a:prstGeom prst="round2Diag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60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JasmineUPC" panose="02020603050405020304" pitchFamily="18" charset="-34"/>
              <a:ea typeface="STCaiyun" panose="02010800040101010101" pitchFamily="2" charset="-122"/>
              <a:cs typeface="JasmineUPC" panose="02020603050405020304" pitchFamily="18" charset="-34"/>
            </a:rPr>
            <a:t>CARLA</a:t>
          </a:r>
          <a:r>
            <a:rPr lang="pt-BR" sz="6000" b="1" cap="none" spc="50" baseline="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JasmineUPC" panose="02020603050405020304" pitchFamily="18" charset="-34"/>
              <a:ea typeface="STCaiyun" panose="02010800040101010101" pitchFamily="2" charset="-122"/>
              <a:cs typeface="JasmineUPC" panose="02020603050405020304" pitchFamily="18" charset="-34"/>
            </a:rPr>
            <a:t> INVEST</a:t>
          </a:r>
          <a:endParaRPr lang="pt-BR" sz="6000" b="1" cap="none" spc="50">
            <a:ln w="9525" cmpd="sng">
              <a:solidFill>
                <a:schemeClr val="accent1"/>
              </a:solidFill>
              <a:prstDash val="solid"/>
            </a:ln>
            <a:solidFill>
              <a:srgbClr val="70AD47">
                <a:tint val="1000"/>
              </a:srgbClr>
            </a:solidFill>
            <a:effectLst>
              <a:glow rad="38100">
                <a:schemeClr val="accent1">
                  <a:alpha val="40000"/>
                </a:schemeClr>
              </a:glow>
            </a:effectLst>
            <a:latin typeface="JasmineUPC" panose="02020603050405020304" pitchFamily="18" charset="-34"/>
            <a:ea typeface="STCaiyun" panose="02010800040101010101" pitchFamily="2" charset="-122"/>
            <a:cs typeface="JasmineUPC" panose="02020603050405020304" pitchFamily="18" charset="-34"/>
          </a:endParaRPr>
        </a:p>
      </xdr:txBody>
    </xdr:sp>
    <xdr:clientData/>
  </xdr:twoCellAnchor>
  <xdr:twoCellAnchor editAs="oneCell">
    <xdr:from>
      <xdr:col>3</xdr:col>
      <xdr:colOff>1473200</xdr:colOff>
      <xdr:row>22</xdr:row>
      <xdr:rowOff>203200</xdr:rowOff>
    </xdr:from>
    <xdr:to>
      <xdr:col>16383</xdr:col>
      <xdr:colOff>38100</xdr:colOff>
      <xdr:row>23</xdr:row>
      <xdr:rowOff>279400</xdr:rowOff>
    </xdr:to>
    <xdr:pic>
      <xdr:nvPicPr>
        <xdr:cNvPr id="4" name="Gráfico 3" descr="Filtro com preenchimento sólido">
          <a:extLst>
            <a:ext uri="{FF2B5EF4-FFF2-40B4-BE49-F238E27FC236}">
              <a16:creationId xmlns:a16="http://schemas.microsoft.com/office/drawing/2014/main" id="{E5F92D6F-3EF7-9687-FC0F-D48D48A8C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3300" y="7289800"/>
          <a:ext cx="292100" cy="292100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33</xdr:row>
      <xdr:rowOff>88900</xdr:rowOff>
    </xdr:from>
    <xdr:to>
      <xdr:col>3</xdr:col>
      <xdr:colOff>1473200</xdr:colOff>
      <xdr:row>49</xdr:row>
      <xdr:rowOff>88900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0411487-1817-F503-84E9-56513B0AA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1A55-10F3-E445-84B0-B184358C885B}">
  <dimension ref="A1:XFD33"/>
  <sheetViews>
    <sheetView showGridLines="0" tabSelected="1" workbookViewId="0">
      <selection activeCell="D11" sqref="D11"/>
    </sheetView>
  </sheetViews>
  <sheetFormatPr baseColWidth="10" defaultColWidth="0" defaultRowHeight="16" x14ac:dyDescent="0.2"/>
  <cols>
    <col min="1" max="1" width="3.1640625" style="2" customWidth="1"/>
    <col min="2" max="2" width="28.83203125" bestFit="1" customWidth="1"/>
    <col min="3" max="3" width="28.5" bestFit="1" customWidth="1"/>
    <col min="4" max="4" width="19.5" bestFit="1" customWidth="1"/>
    <col min="5" max="5" width="3.1640625" customWidth="1"/>
    <col min="6" max="16383" width="10.83203125" hidden="1"/>
    <col min="16384" max="16384" width="1.5" customWidth="1"/>
  </cols>
  <sheetData>
    <row r="1" spans="2:4" ht="65" customHeight="1" x14ac:dyDescent="0.75">
      <c r="B1" s="1"/>
    </row>
    <row r="2" spans="2:4" ht="10" customHeight="1" x14ac:dyDescent="0.2">
      <c r="B2" s="10"/>
      <c r="C2" s="10"/>
      <c r="D2" s="10"/>
    </row>
    <row r="3" spans="2:4" ht="17" customHeight="1" thickBot="1" x14ac:dyDescent="0.25"/>
    <row r="4" spans="2:4" ht="25" thickBot="1" x14ac:dyDescent="0.35">
      <c r="B4" s="7" t="s">
        <v>15</v>
      </c>
      <c r="C4" s="8"/>
      <c r="D4" s="9"/>
    </row>
    <row r="5" spans="2:4" ht="24" x14ac:dyDescent="0.3">
      <c r="B5" s="65" t="s">
        <v>16</v>
      </c>
      <c r="C5" s="66"/>
      <c r="D5" s="67">
        <v>5000</v>
      </c>
    </row>
    <row r="6" spans="2:4" ht="24" x14ac:dyDescent="0.3">
      <c r="B6" s="60" t="s">
        <v>17</v>
      </c>
      <c r="C6" s="59"/>
      <c r="D6" s="61">
        <v>0.01</v>
      </c>
    </row>
    <row r="7" spans="2:4" ht="25" thickBot="1" x14ac:dyDescent="0.35">
      <c r="B7" s="62" t="s">
        <v>35</v>
      </c>
      <c r="C7" s="63"/>
      <c r="D7" s="64">
        <f>D5*30%</f>
        <v>1500</v>
      </c>
    </row>
    <row r="8" spans="2:4" ht="17" customHeight="1" thickBot="1" x14ac:dyDescent="0.35">
      <c r="B8" s="3"/>
      <c r="C8" s="3"/>
      <c r="D8" s="3"/>
    </row>
    <row r="9" spans="2:4" ht="25" thickBot="1" x14ac:dyDescent="0.35">
      <c r="B9" s="78" t="s">
        <v>0</v>
      </c>
      <c r="C9" s="79"/>
      <c r="D9" s="80"/>
    </row>
    <row r="10" spans="2:4" ht="24" x14ac:dyDescent="0.3">
      <c r="B10" s="75" t="s">
        <v>1</v>
      </c>
      <c r="C10" s="76"/>
      <c r="D10" s="77">
        <v>800</v>
      </c>
    </row>
    <row r="11" spans="2:4" ht="24" x14ac:dyDescent="0.3">
      <c r="B11" s="70" t="s">
        <v>2</v>
      </c>
      <c r="C11" s="68"/>
      <c r="D11" s="71">
        <v>5</v>
      </c>
    </row>
    <row r="12" spans="2:4" ht="25" thickBot="1" x14ac:dyDescent="0.35">
      <c r="B12" s="81" t="s">
        <v>3</v>
      </c>
      <c r="C12" s="82"/>
      <c r="D12" s="83">
        <v>1.0789999999999999E-2</v>
      </c>
    </row>
    <row r="13" spans="2:4" ht="24" x14ac:dyDescent="0.3">
      <c r="B13" s="84" t="s">
        <v>4</v>
      </c>
      <c r="C13" s="85"/>
      <c r="D13" s="86">
        <f>FV(taxa_mensal,quantidade_anos*12,aporte*-1)</f>
        <v>67021.531198790108</v>
      </c>
    </row>
    <row r="14" spans="2:4" ht="25" thickBot="1" x14ac:dyDescent="0.35">
      <c r="B14" s="72" t="s">
        <v>5</v>
      </c>
      <c r="C14" s="73"/>
      <c r="D14" s="74">
        <f>D13*rendimento_carteira</f>
        <v>670.21531198790115</v>
      </c>
    </row>
    <row r="15" spans="2:4" ht="17" customHeight="1" thickBot="1" x14ac:dyDescent="0.35">
      <c r="B15" s="3"/>
      <c r="C15" s="3"/>
      <c r="D15" s="3"/>
    </row>
    <row r="16" spans="2:4" ht="25" thickBot="1" x14ac:dyDescent="0.35">
      <c r="B16" s="4" t="s">
        <v>6</v>
      </c>
      <c r="C16" s="5"/>
      <c r="D16" s="6"/>
    </row>
    <row r="17" spans="1:4" ht="25" thickBot="1" x14ac:dyDescent="0.35">
      <c r="B17" s="95" t="s">
        <v>12</v>
      </c>
      <c r="C17" s="96" t="s">
        <v>14</v>
      </c>
      <c r="D17" s="97" t="s">
        <v>13</v>
      </c>
    </row>
    <row r="18" spans="1:4" ht="24" x14ac:dyDescent="0.3">
      <c r="A18" s="2">
        <v>2</v>
      </c>
      <c r="B18" s="92" t="s">
        <v>7</v>
      </c>
      <c r="C18" s="93">
        <f>FV($D$12,$A18*12,$D$10*-1)</f>
        <v>21782.101838116174</v>
      </c>
      <c r="D18" s="94">
        <f>C18*rendimento_carteira</f>
        <v>217.82101838116174</v>
      </c>
    </row>
    <row r="19" spans="1:4" ht="24" x14ac:dyDescent="0.3">
      <c r="A19" s="2">
        <v>5</v>
      </c>
      <c r="B19" s="87" t="s">
        <v>8</v>
      </c>
      <c r="C19" s="69">
        <f>FV($D$12,$A19*12,$D$10*-1)</f>
        <v>67021.531198790108</v>
      </c>
      <c r="D19" s="88">
        <f>C19*rendimento_carteira</f>
        <v>670.21531198790115</v>
      </c>
    </row>
    <row r="20" spans="1:4" ht="24" x14ac:dyDescent="0.3">
      <c r="A20" s="2">
        <v>10</v>
      </c>
      <c r="B20" s="87" t="s">
        <v>9</v>
      </c>
      <c r="C20" s="69">
        <f>FV($D$12,$A20*12,$D$10*-1)</f>
        <v>194627.37002413775</v>
      </c>
      <c r="D20" s="88">
        <f>C20*rendimento_carteira</f>
        <v>1946.2737002413776</v>
      </c>
    </row>
    <row r="21" spans="1:4" ht="24" x14ac:dyDescent="0.3">
      <c r="A21" s="2">
        <v>20</v>
      </c>
      <c r="B21" s="87" t="s">
        <v>10</v>
      </c>
      <c r="C21" s="69">
        <f>FV($D$12,$A21*12,$D$10*-1)</f>
        <v>900158.72007766447</v>
      </c>
      <c r="D21" s="88">
        <f>C21*rendimento_carteira</f>
        <v>9001.5872007766447</v>
      </c>
    </row>
    <row r="22" spans="1:4" ht="25" thickBot="1" x14ac:dyDescent="0.35">
      <c r="A22" s="2">
        <v>30</v>
      </c>
      <c r="B22" s="89" t="s">
        <v>11</v>
      </c>
      <c r="C22" s="90">
        <f>FV($D$12,$A22*12,$D$10*-1)</f>
        <v>3457735.7240037718</v>
      </c>
      <c r="D22" s="91">
        <f>C22*rendimento_carteira</f>
        <v>34577.357240037716</v>
      </c>
    </row>
    <row r="23" spans="1:4" ht="17" thickBot="1" x14ac:dyDescent="0.25"/>
    <row r="24" spans="1:4" ht="24" customHeight="1" thickBot="1" x14ac:dyDescent="0.25">
      <c r="B24" s="98" t="s">
        <v>18</v>
      </c>
      <c r="C24" s="99"/>
      <c r="D24" s="100" t="s">
        <v>20</v>
      </c>
    </row>
    <row r="25" spans="1:4" ht="25" thickBot="1" x14ac:dyDescent="0.25">
      <c r="B25" s="36" t="s">
        <v>25</v>
      </c>
      <c r="C25" s="21"/>
      <c r="D25" s="37">
        <f>aporte</f>
        <v>800</v>
      </c>
    </row>
    <row r="26" spans="1:4" ht="23" thickBot="1" x14ac:dyDescent="0.25">
      <c r="B26" s="12" t="s">
        <v>22</v>
      </c>
      <c r="C26" s="13" t="s">
        <v>23</v>
      </c>
      <c r="D26" s="14" t="s">
        <v>24</v>
      </c>
    </row>
    <row r="27" spans="1:4" ht="22" x14ac:dyDescent="0.2">
      <c r="B27" s="38" t="s">
        <v>26</v>
      </c>
      <c r="C27" s="16">
        <f>VLOOKUP($D$24&amp;"-"&amp;B27,'APOIO FII'!$A$1:$D$23,4,FALSE)</f>
        <v>0.3</v>
      </c>
      <c r="D27" s="39">
        <f>C27*$D$25</f>
        <v>240</v>
      </c>
    </row>
    <row r="28" spans="1:4" ht="22" x14ac:dyDescent="0.2">
      <c r="B28" s="17" t="s">
        <v>27</v>
      </c>
      <c r="C28" s="15">
        <f>VLOOKUP($D$24&amp;"-"&amp;B28,'APOIO FII'!$A$1:$D$23,4,FALSE)</f>
        <v>0.4</v>
      </c>
      <c r="D28" s="18">
        <f t="shared" ref="D28:D32" si="0">C28*$D$25</f>
        <v>320</v>
      </c>
    </row>
    <row r="29" spans="1:4" ht="22" x14ac:dyDescent="0.2">
      <c r="B29" s="17" t="s">
        <v>28</v>
      </c>
      <c r="C29" s="15">
        <f>VLOOKUP($D$24&amp;"-"&amp;B29,'APOIO FII'!$A$1:$D$23,4,FALSE)</f>
        <v>0.1</v>
      </c>
      <c r="D29" s="18">
        <f t="shared" si="0"/>
        <v>80</v>
      </c>
    </row>
    <row r="30" spans="1:4" ht="22" x14ac:dyDescent="0.2">
      <c r="B30" s="17" t="s">
        <v>29</v>
      </c>
      <c r="C30" s="15">
        <f>VLOOKUP($D$24&amp;"-"&amp;B30,'APOIO FII'!$A$1:$D$23,4,FALSE)</f>
        <v>0.1</v>
      </c>
      <c r="D30" s="18">
        <f t="shared" si="0"/>
        <v>80</v>
      </c>
    </row>
    <row r="31" spans="1:4" ht="22" x14ac:dyDescent="0.2">
      <c r="B31" s="17" t="s">
        <v>30</v>
      </c>
      <c r="C31" s="15">
        <f>VLOOKUP($D$24&amp;"-"&amp;B31,'APOIO FII'!$A$1:$D$23,4,FALSE)</f>
        <v>0.05</v>
      </c>
      <c r="D31" s="18">
        <f t="shared" si="0"/>
        <v>40</v>
      </c>
    </row>
    <row r="32" spans="1:4" ht="23" thickBot="1" x14ac:dyDescent="0.25">
      <c r="B32" s="19" t="s">
        <v>31</v>
      </c>
      <c r="C32" s="32">
        <f>VLOOKUP($D$24&amp;"-"&amp;B32,'APOIO FII'!$A$1:$D$23,4,FALSE)</f>
        <v>0.05</v>
      </c>
      <c r="D32" s="20">
        <f t="shared" si="0"/>
        <v>40</v>
      </c>
    </row>
    <row r="33" spans="2:4" ht="24" thickBot="1" x14ac:dyDescent="0.35">
      <c r="B33" s="40"/>
      <c r="C33" s="41"/>
      <c r="D33" s="42">
        <f>SUM(D27:D32)</f>
        <v>800</v>
      </c>
    </row>
  </sheetData>
  <mergeCells count="15">
    <mergeCell ref="B33:C33"/>
    <mergeCell ref="B2:D2"/>
    <mergeCell ref="B13:C13"/>
    <mergeCell ref="B24:C24"/>
    <mergeCell ref="B25:C25"/>
    <mergeCell ref="B16:D16"/>
    <mergeCell ref="B4:D4"/>
    <mergeCell ref="B5:C5"/>
    <mergeCell ref="B6:C6"/>
    <mergeCell ref="B7:C7"/>
    <mergeCell ref="B9:D9"/>
    <mergeCell ref="B10:C10"/>
    <mergeCell ref="B11:C11"/>
    <mergeCell ref="B12:C12"/>
    <mergeCell ref="B14:C14"/>
  </mergeCells>
  <dataValidations count="1">
    <dataValidation type="list" allowBlank="1" showInputMessage="1" showErrorMessage="1" sqref="D24" xr:uid="{1F5EEC5A-73C9-CC41-8BFC-8F63A227BEB6}">
      <formula1>"CONSERVADOR,MODERADO,AGRESSIVO,"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23ED-B5DF-8344-92F5-06AF4A6E2544}">
  <dimension ref="A1:F24"/>
  <sheetViews>
    <sheetView workbookViewId="0">
      <selection activeCell="D8" sqref="D8"/>
    </sheetView>
  </sheetViews>
  <sheetFormatPr baseColWidth="10" defaultRowHeight="22" x14ac:dyDescent="0.2"/>
  <cols>
    <col min="1" max="1" width="41.6640625" style="11" bestFit="1" customWidth="1"/>
    <col min="2" max="2" width="18.5" style="11" bestFit="1" customWidth="1"/>
    <col min="3" max="3" width="23.1640625" style="11" bestFit="1" customWidth="1"/>
    <col min="4" max="4" width="18.5" style="11" bestFit="1" customWidth="1"/>
    <col min="5" max="16384" width="10.83203125" style="11"/>
  </cols>
  <sheetData>
    <row r="1" spans="1:6" ht="23" thickBot="1" x14ac:dyDescent="0.25">
      <c r="A1" s="55" t="s">
        <v>34</v>
      </c>
      <c r="B1" s="55" t="s">
        <v>32</v>
      </c>
      <c r="C1" s="55" t="s">
        <v>22</v>
      </c>
      <c r="D1" s="55" t="s">
        <v>33</v>
      </c>
      <c r="E1" s="24"/>
      <c r="F1" s="24"/>
    </row>
    <row r="2" spans="1:6" x14ac:dyDescent="0.2">
      <c r="A2" s="43" t="str">
        <f>B2&amp;"-"&amp;C2</f>
        <v>CONSERVADOR-PAPEL</v>
      </c>
      <c r="B2" s="44" t="s">
        <v>20</v>
      </c>
      <c r="C2" s="44" t="s">
        <v>26</v>
      </c>
      <c r="D2" s="45">
        <v>0.3</v>
      </c>
      <c r="E2" s="24"/>
      <c r="F2" s="24"/>
    </row>
    <row r="3" spans="1:6" x14ac:dyDescent="0.2">
      <c r="A3" s="46" t="str">
        <f t="shared" ref="A3:A6" si="0">B3&amp;"-"&amp;C3</f>
        <v>CONSERVADOR-TIJOLO</v>
      </c>
      <c r="B3" s="47" t="s">
        <v>20</v>
      </c>
      <c r="C3" s="47" t="s">
        <v>27</v>
      </c>
      <c r="D3" s="48">
        <v>0.4</v>
      </c>
      <c r="E3" s="24"/>
      <c r="F3" s="24"/>
    </row>
    <row r="4" spans="1:6" x14ac:dyDescent="0.2">
      <c r="A4" s="46" t="str">
        <f t="shared" si="0"/>
        <v>CONSERVADOR-HÍBRIDO</v>
      </c>
      <c r="B4" s="47" t="s">
        <v>20</v>
      </c>
      <c r="C4" s="47" t="s">
        <v>28</v>
      </c>
      <c r="D4" s="48">
        <v>0.1</v>
      </c>
      <c r="E4" s="24"/>
      <c r="F4" s="24"/>
    </row>
    <row r="5" spans="1:6" x14ac:dyDescent="0.2">
      <c r="A5" s="46" t="str">
        <f t="shared" si="0"/>
        <v>CONSERVADOR-FOF</v>
      </c>
      <c r="B5" s="47" t="s">
        <v>20</v>
      </c>
      <c r="C5" s="47" t="s">
        <v>29</v>
      </c>
      <c r="D5" s="48">
        <v>0.1</v>
      </c>
      <c r="E5" s="24"/>
      <c r="F5" s="24"/>
    </row>
    <row r="6" spans="1:6" x14ac:dyDescent="0.2">
      <c r="A6" s="46" t="str">
        <f t="shared" si="0"/>
        <v>CONSERVADOR-DESENVOLVIMENTO</v>
      </c>
      <c r="B6" s="47" t="s">
        <v>20</v>
      </c>
      <c r="C6" s="47" t="s">
        <v>30</v>
      </c>
      <c r="D6" s="48">
        <v>0.05</v>
      </c>
      <c r="E6" s="24"/>
      <c r="F6" s="24"/>
    </row>
    <row r="7" spans="1:6" ht="23" thickBot="1" x14ac:dyDescent="0.25">
      <c r="A7" s="49" t="str">
        <f>B7&amp;"-"&amp;C7</f>
        <v>CONSERVADOR-HOTELARIAS</v>
      </c>
      <c r="B7" s="50" t="s">
        <v>20</v>
      </c>
      <c r="C7" s="50" t="s">
        <v>31</v>
      </c>
      <c r="D7" s="51">
        <v>0.05</v>
      </c>
      <c r="E7" s="24"/>
      <c r="F7" s="24"/>
    </row>
    <row r="8" spans="1:6" ht="23" thickBot="1" x14ac:dyDescent="0.25">
      <c r="A8" s="56"/>
      <c r="B8" s="57"/>
      <c r="C8" s="57"/>
      <c r="D8" s="58">
        <f>SUM(D2:D7)</f>
        <v>1</v>
      </c>
      <c r="E8" s="24"/>
      <c r="F8" s="24"/>
    </row>
    <row r="9" spans="1:6" ht="23" thickBot="1" x14ac:dyDescent="0.25">
      <c r="A9" s="55" t="s">
        <v>34</v>
      </c>
      <c r="B9" s="55" t="s">
        <v>32</v>
      </c>
      <c r="C9" s="55" t="s">
        <v>22</v>
      </c>
      <c r="D9" s="55" t="s">
        <v>33</v>
      </c>
    </row>
    <row r="10" spans="1:6" x14ac:dyDescent="0.2">
      <c r="A10" s="29" t="str">
        <f>B10&amp;"-"&amp;C10</f>
        <v>MODERADO-PAPEL</v>
      </c>
      <c r="B10" s="27" t="s">
        <v>19</v>
      </c>
      <c r="C10" s="28" t="s">
        <v>26</v>
      </c>
      <c r="D10" s="33">
        <v>0.32</v>
      </c>
    </row>
    <row r="11" spans="1:6" x14ac:dyDescent="0.2">
      <c r="A11" s="30" t="str">
        <f t="shared" ref="A11:A15" si="1">B11&amp;"-"&amp;C11</f>
        <v>MODERADO-TIJOLO</v>
      </c>
      <c r="B11" s="25" t="s">
        <v>19</v>
      </c>
      <c r="C11" s="22" t="s">
        <v>27</v>
      </c>
      <c r="D11" s="34">
        <v>0.35</v>
      </c>
    </row>
    <row r="12" spans="1:6" x14ac:dyDescent="0.2">
      <c r="A12" s="30" t="str">
        <f t="shared" si="1"/>
        <v>MODERADO-HÍBRIDO</v>
      </c>
      <c r="B12" s="25" t="s">
        <v>19</v>
      </c>
      <c r="C12" s="22" t="s">
        <v>28</v>
      </c>
      <c r="D12" s="34">
        <v>0.08</v>
      </c>
    </row>
    <row r="13" spans="1:6" x14ac:dyDescent="0.2">
      <c r="A13" s="30" t="str">
        <f t="shared" si="1"/>
        <v>MODERADO-FOF</v>
      </c>
      <c r="B13" s="25" t="s">
        <v>19</v>
      </c>
      <c r="C13" s="22" t="s">
        <v>29</v>
      </c>
      <c r="D13" s="34">
        <v>0.05</v>
      </c>
    </row>
    <row r="14" spans="1:6" x14ac:dyDescent="0.2">
      <c r="A14" s="30" t="str">
        <f t="shared" si="1"/>
        <v>MODERADO-DESENVOLVIMENTO</v>
      </c>
      <c r="B14" s="25" t="s">
        <v>19</v>
      </c>
      <c r="C14" s="22" t="s">
        <v>30</v>
      </c>
      <c r="D14" s="34">
        <v>0.1</v>
      </c>
    </row>
    <row r="15" spans="1:6" ht="23" thickBot="1" x14ac:dyDescent="0.25">
      <c r="A15" s="31" t="str">
        <f t="shared" si="1"/>
        <v>MODERADO-HOTELARIAS</v>
      </c>
      <c r="B15" s="26" t="s">
        <v>19</v>
      </c>
      <c r="C15" s="23" t="s">
        <v>31</v>
      </c>
      <c r="D15" s="35">
        <v>0.1</v>
      </c>
    </row>
    <row r="16" spans="1:6" ht="23" thickBot="1" x14ac:dyDescent="0.25">
      <c r="A16" s="56"/>
      <c r="B16" s="57"/>
      <c r="C16" s="57"/>
      <c r="D16" s="58">
        <f>SUM(D10:D15)</f>
        <v>0.99999999999999989</v>
      </c>
    </row>
    <row r="17" spans="1:4" ht="23" thickBot="1" x14ac:dyDescent="0.25">
      <c r="A17" s="55" t="s">
        <v>34</v>
      </c>
      <c r="B17" s="55" t="s">
        <v>32</v>
      </c>
      <c r="C17" s="55" t="s">
        <v>22</v>
      </c>
      <c r="D17" s="55" t="s">
        <v>33</v>
      </c>
    </row>
    <row r="18" spans="1:4" x14ac:dyDescent="0.2">
      <c r="A18" s="43" t="str">
        <f>B18&amp;"-"&amp;C18</f>
        <v>AGRESSIVO-PAPEL</v>
      </c>
      <c r="B18" s="44" t="s">
        <v>21</v>
      </c>
      <c r="C18" s="44" t="s">
        <v>26</v>
      </c>
      <c r="D18" s="45">
        <v>0.45</v>
      </c>
    </row>
    <row r="19" spans="1:4" x14ac:dyDescent="0.2">
      <c r="A19" s="46" t="str">
        <f t="shared" ref="A19:A23" si="2">B19&amp;"-"&amp;C19</f>
        <v>AGRESSIVO-TIJOLO</v>
      </c>
      <c r="B19" s="47" t="s">
        <v>21</v>
      </c>
      <c r="C19" s="47" t="s">
        <v>27</v>
      </c>
      <c r="D19" s="48">
        <v>0.15</v>
      </c>
    </row>
    <row r="20" spans="1:4" x14ac:dyDescent="0.2">
      <c r="A20" s="46" t="str">
        <f t="shared" si="2"/>
        <v>AGRESSIVO-HÍBRIDO</v>
      </c>
      <c r="B20" s="47" t="s">
        <v>21</v>
      </c>
      <c r="C20" s="47" t="s">
        <v>28</v>
      </c>
      <c r="D20" s="48">
        <v>0.05</v>
      </c>
    </row>
    <row r="21" spans="1:4" x14ac:dyDescent="0.2">
      <c r="A21" s="46" t="str">
        <f t="shared" si="2"/>
        <v>AGRESSIVO-FOF</v>
      </c>
      <c r="B21" s="47" t="s">
        <v>21</v>
      </c>
      <c r="C21" s="47" t="s">
        <v>29</v>
      </c>
      <c r="D21" s="48">
        <v>0.05</v>
      </c>
    </row>
    <row r="22" spans="1:4" x14ac:dyDescent="0.2">
      <c r="A22" s="46" t="str">
        <f t="shared" si="2"/>
        <v>AGRESSIVO-DESENVOLVIMENTO</v>
      </c>
      <c r="B22" s="47" t="s">
        <v>21</v>
      </c>
      <c r="C22" s="47" t="s">
        <v>30</v>
      </c>
      <c r="D22" s="48">
        <v>0.2</v>
      </c>
    </row>
    <row r="23" spans="1:4" ht="23" thickBot="1" x14ac:dyDescent="0.25">
      <c r="A23" s="52" t="str">
        <f t="shared" si="2"/>
        <v>AGRESSIVO-HOTELARIAS</v>
      </c>
      <c r="B23" s="53" t="s">
        <v>21</v>
      </c>
      <c r="C23" s="53" t="s">
        <v>31</v>
      </c>
      <c r="D23" s="54">
        <v>0.1</v>
      </c>
    </row>
    <row r="24" spans="1:4" ht="23" thickBot="1" x14ac:dyDescent="0.25">
      <c r="A24" s="56"/>
      <c r="B24" s="57"/>
      <c r="C24" s="57"/>
      <c r="D24" s="58">
        <f>SUM(D18:D23)</f>
        <v>1.0000000000000002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SIMULADOR FII</vt:lpstr>
      <vt:lpstr>APOIO FII</vt:lpstr>
      <vt:lpstr>aporte</vt:lpstr>
      <vt:lpstr>quantidade_anos</vt:lpstr>
      <vt:lpstr>rendimento_carteira</vt:lpstr>
      <vt:lpstr>salario</vt:lpstr>
      <vt:lpstr>sugestao_invest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Meneses</dc:creator>
  <cp:lastModifiedBy>Carla Meneses</cp:lastModifiedBy>
  <dcterms:created xsi:type="dcterms:W3CDTF">2025-12-30T17:46:42Z</dcterms:created>
  <dcterms:modified xsi:type="dcterms:W3CDTF">2026-01-02T16:17:38Z</dcterms:modified>
</cp:coreProperties>
</file>